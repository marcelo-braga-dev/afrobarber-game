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lanilha Orçamentária"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<sst xmlns="http://schemas.openxmlformats.org/spreadsheetml/2006/main" count="84" uniqueCount="73">
  <si>
    <t xml:space="preserve">ANEXO 4 - MODELO DE PLANILHA ORÇAMENTÁRIA</t>
  </si>
  <si>
    <t xml:space="preserve">Nome do projeto:</t>
  </si>
  <si>
    <t xml:space="preserve">Cada Corte, uma História</t>
  </si>
  <si>
    <t xml:space="preserve">Nome do agente cultural:</t>
  </si>
  <si>
    <t xml:space="preserve">[NOME DO AGENTE CULTURAL]</t>
  </si>
  <si>
    <t xml:space="preserve">Edital:</t>
  </si>
  <si>
    <t xml:space="preserve">Chamamento Público nº 008/2026 — Modalidade I (R$ 30.000,00)</t>
  </si>
  <si>
    <t xml:space="preserve">Nº</t>
  </si>
  <si>
    <t xml:space="preserve">Item de despesa</t>
  </si>
  <si>
    <t xml:space="preserve">Unidade</t>
  </si>
  <si>
    <t xml:space="preserve">Quant.</t>
  </si>
  <si>
    <t xml:space="preserve">Valor unitário</t>
  </si>
  <si>
    <t xml:space="preserve">Valor total</t>
  </si>
  <si>
    <t xml:space="preserve">Referência de preço utilizada</t>
  </si>
  <si>
    <t xml:space="preserve">1. Produção artística: documentários e jogo</t>
  </si>
  <si>
    <t xml:space="preserve">Direção geral, roteiro dos 120 documentários e programação do jogo (proponente)</t>
  </si>
  <si>
    <t xml:space="preserve">mês</t>
  </si>
  <si>
    <t xml:space="preserve">Valor de mercado para desenvolvedor de jogos [indicar fonte: tabela de referência ou pesquisa salarial]</t>
  </si>
  <si>
    <t xml:space="preserve">Ilustração 2D dos documentários (24 principais + 10 de apoio)</t>
  </si>
  <si>
    <t xml:space="preserve">ilustração</t>
  </si>
  <si>
    <t xml:space="preserve">Orçamento de profissional de Ribeirão Preto [nome e data, a anexar]</t>
  </si>
  <si>
    <t xml:space="preserve">Narração e edição de áudio dos documentários</t>
  </si>
  <si>
    <t xml:space="preserve">minuto finalizado</t>
  </si>
  <si>
    <t xml:space="preserve">Trilha sonora original (uma música por época)</t>
  </si>
  <si>
    <t xml:space="preserve">faixa</t>
  </si>
  <si>
    <t xml:space="preserve">Consultoria em cultura afro-brasileira (revisão dos roteiros e das fontes)</t>
  </si>
  <si>
    <t xml:space="preserve">hora</t>
  </si>
  <si>
    <t xml:space="preserve">Consultoria pedagógica (guia para professores)</t>
  </si>
  <si>
    <t xml:space="preserve">2. Acessibilidade</t>
  </si>
  <si>
    <t xml:space="preserve">Consultoria de acessibilidade (pessoa com deficiência)</t>
  </si>
  <si>
    <t xml:space="preserve">Intérpretes de Libras no lançamento (dois, em revezamento)</t>
  </si>
  <si>
    <t xml:space="preserve">intérprete</t>
  </si>
  <si>
    <t xml:space="preserve">Orçamento de intérprete ou empresa de Libras [nome e data, a anexar]</t>
  </si>
  <si>
    <t xml:space="preserve">Acessibilidade do trailer (Libras, legendas e audiodescrição)</t>
  </si>
  <si>
    <t xml:space="preserve">serviço</t>
  </si>
  <si>
    <t xml:space="preserve">Orçamento de empresa de acessibilidade audiovisual [nome e data, a anexar]</t>
  </si>
  <si>
    <t xml:space="preserve">3. Lançamento e guia para professores</t>
  </si>
  <si>
    <t xml:space="preserve">Roda de conversa no lançamento (barbeiro e trancista convidados)</t>
  </si>
  <si>
    <t xml:space="preserve">convidado</t>
  </si>
  <si>
    <t xml:space="preserve">Cachê de convidado em atividade cultural [indicar referência]</t>
  </si>
  <si>
    <t xml:space="preserve">Locação de equipamentos para o lançamento (notebooks, projetor e som)</t>
  </si>
  <si>
    <t xml:space="preserve">diária</t>
  </si>
  <si>
    <t xml:space="preserve">Orçamento de locadora de equipamentos [nome e data, a anexar]</t>
  </si>
  <si>
    <t xml:space="preserve">Transporte de equipamentos e equipe para o lançamento</t>
  </si>
  <si>
    <t xml:space="preserve">deslocamento</t>
  </si>
  <si>
    <t xml:space="preserve">Orçamento de frete ou transporte por aplicativo [a anexar]</t>
  </si>
  <si>
    <t xml:space="preserve">Impressão do guia para professores</t>
  </si>
  <si>
    <t xml:space="preserve">exemplar</t>
  </si>
  <si>
    <t xml:space="preserve">Orçamento de gráfica [nome e data, a anexar]</t>
  </si>
  <si>
    <t xml:space="preserve">Impressão de cartazes com código para baixar o jogo</t>
  </si>
  <si>
    <t xml:space="preserve">cartaz</t>
  </si>
  <si>
    <t xml:space="preserve">4. Divulgação</t>
  </si>
  <si>
    <t xml:space="preserve">Edição de vídeo (trailer e 7 vídeos curtos)</t>
  </si>
  <si>
    <t xml:space="preserve">vídeo</t>
  </si>
  <si>
    <t xml:space="preserve">Design gráfico (identidade visual e peças acessíveis)</t>
  </si>
  <si>
    <t xml:space="preserve">peça</t>
  </si>
  <si>
    <t xml:space="preserve">5. Administrativo</t>
  </si>
  <si>
    <t xml:space="preserve">Assessoria contábil (impostos e prestação de contas)</t>
  </si>
  <si>
    <t xml:space="preserve">Orçamento de escritório de contabilidade [nome e data, a anexar]</t>
  </si>
  <si>
    <t xml:space="preserve">TOTAL GERAL</t>
  </si>
  <si>
    <t xml:space="preserve">PREVISÃO DE ARRECADAÇÃO (ingressos ou venda de produtos)</t>
  </si>
  <si>
    <t xml:space="preserve">Não haverá cobrança de ingresso nem venda de produtos. O jogo, o lançamento e o guia para professores são gratuitos.</t>
  </si>
  <si>
    <t xml:space="preserve">Observações</t>
  </si>
  <si>
    <t xml:space="preserve">• Todos os itens são contratação de serviços. Não há compra de bens.</t>
  </si>
  <si>
    <t xml:space="preserve">• Os valores são brutos. Os impostos de cada pagamento são de responsabilidade do agente cultural (item 10.2.4 do edital).</t>
  </si>
  <si>
    <t xml:space="preserve">• A coluna "Referência de preço utilizada" indica a fonte de cada valor. Os orçamentos citados acompanham a proposta.</t>
  </si>
  <si>
    <t xml:space="preserve">• Não há situação de excepcionalidade territorial: os valores seguem as práticas de mercado de Ribeirão Preto.</t>
  </si>
  <si>
    <t xml:space="preserve">Orientações do edital (Anexo 4)</t>
  </si>
  <si>
    <t xml:space="preserve">O agente cultural deve preencher a planilha orçamentária indicando os custos do projeto, por categoria, acompanhado dos valores condizentes com as práticas de mercado. O agente cultural pode informar qual a referência de preço utilizada, de acordo com as características e realidades do projeto.</t>
  </si>
  <si>
    <t xml:space="preserve">Atenção! O projeto poderá apresentar valores divergentes das práticas de mercado convencionais na hipótese de haver significativa excepcionalidade no contexto de sua implementação, consideradas variáveis territoriais e geográficas e situações específicas, como a de povos indígenas, ribeirinhos, atingidos por barragens e comunidades quilombolas e tradicionais.</t>
  </si>
  <si>
    <t xml:space="preserve">Atenção! Em caso de cobrança de ingresso ou venda de produtos, os recursos provenientes deverão ser revertidos ao próprio projeto, devendo ser apresentada na planilha orçamentária a previsão de arrecadação, juntamente com a relação de quais itens serão custeados com esse recurso.</t>
  </si>
  <si>
    <t xml:space="preserve">Análise da planilha orçamentária: os membros da comissão de seleção vão avaliar se os valores informados pelo agente cultural são compatíveis com os preços praticados no mercado. Os membros da comissão de seleção podem realizar a análise comparando os valores apresentados pelo agente cultural com tabelas referenciais de valores, ou com outros métodos de verificação.</t>
  </si>
  <si>
    <t xml:space="preserve">Valores incompatíveis com o mercado: os itens da planilha orçamentária poderão ser glosados, ou seja, vetados, total ou parcialmente, pela Comissão de Seleção, se, após análise, não forem considerados com preços compatíveis aos praticados no mercado ou forem considerados incoerentes e em desconformidade com o projeto apresentado. Caso o agente cultural discorde dos valores glosados (vetados), poderá apresentar recurso da etapa de seleção.</t>
  </si>
</sst>
</file>

<file path=xl/styles.xml><?xml version="1.0" encoding="utf-8"?>
<styleSheet xmlns="http://schemas.openxmlformats.org/spreadsheetml/2006/main">
  <numFmts count="2">
    <numFmt numFmtId="164" formatCode="General"/>
    <numFmt numFmtId="165" formatCode="[$R$ -416]#,##0.00"/>
  </numFmts>
  <fonts count="9">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b val="true"/>
      <sz val="10"/>
      <name val="Arial"/>
      <family val="0"/>
      <charset val="1"/>
    </font>
    <font>
      <sz val="10"/>
      <name val="Arial"/>
      <family val="0"/>
      <charset val="1"/>
    </font>
    <font>
      <sz val="10"/>
      <color rgb="FF0000FF"/>
      <name val="Arial"/>
      <family val="0"/>
      <charset val="1"/>
    </font>
    <font>
      <sz val="9"/>
      <name val="Arial"/>
      <family val="0"/>
      <charset val="1"/>
    </font>
  </fonts>
  <fills count="6">
    <fill>
      <patternFill patternType="none"/>
    </fill>
    <fill>
      <patternFill patternType="gray125"/>
    </fill>
    <fill>
      <patternFill patternType="solid">
        <fgColor rgb="FFC9DAF8"/>
        <bgColor rgb="FFCFE2F3"/>
      </patternFill>
    </fill>
    <fill>
      <patternFill patternType="solid">
        <fgColor rgb="FFFFFF00"/>
        <bgColor rgb="FFFFFF00"/>
      </patternFill>
    </fill>
    <fill>
      <patternFill patternType="solid">
        <fgColor rgb="FFF3F3F3"/>
        <bgColor rgb="FFFFFFCC"/>
      </patternFill>
    </fill>
    <fill>
      <patternFill patternType="solid">
        <fgColor rgb="FFCFE2F3"/>
        <bgColor rgb="FFC9DAF8"/>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6" fillId="3" borderId="0" xfId="0" applyFont="true" applyBorder="tru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5" fontId="5" fillId="4" borderId="1" xfId="0" applyFont="tru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left" vertical="center" textRotation="0" wrapText="true" indent="0" shrinkToFit="false"/>
      <protection locked="true" hidden="false"/>
    </xf>
    <xf numFmtId="165" fontId="6" fillId="0" borderId="1" xfId="0" applyFont="true" applyBorder="true" applyAlignment="true" applyProtection="false">
      <alignment horizontal="left" vertical="center" textRotation="0" wrapText="tru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5" fontId="5" fillId="5" borderId="1" xfId="0" applyFont="true" applyBorder="tru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general" vertical="bottom"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3F3F3"/>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FE2F3"/>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58"/>
    <col collapsed="false" customWidth="true" hidden="false" outlineLevel="0" max="3" min="3" style="0" width="15"/>
    <col collapsed="false" customWidth="true" hidden="false" outlineLevel="0" max="4" min="4" style="0" width="8"/>
    <col collapsed="false" customWidth="true" hidden="false" outlineLevel="0" max="6" min="5" style="0" width="15"/>
    <col collapsed="false" customWidth="true" hidden="false" outlineLevel="0" max="7" min="7" style="0" width="48"/>
  </cols>
  <sheetData>
    <row r="1" customFormat="false" ht="15" hidden="false" customHeight="false" outlineLevel="0" collapsed="false">
      <c r="A1" s="1" t="s">
        <v>0</v>
      </c>
      <c r="B1" s="1"/>
      <c r="C1" s="1"/>
      <c r="D1" s="1"/>
      <c r="E1" s="1"/>
      <c r="F1" s="1"/>
      <c r="G1" s="1"/>
    </row>
    <row r="3" customFormat="false" ht="15" hidden="false" customHeight="false" outlineLevel="0" collapsed="false">
      <c r="A3" s="2" t="s">
        <v>1</v>
      </c>
      <c r="B3" s="2"/>
      <c r="C3" s="3" t="s">
        <v>2</v>
      </c>
      <c r="D3" s="3"/>
      <c r="E3" s="3"/>
      <c r="F3" s="3"/>
      <c r="G3" s="3"/>
    </row>
    <row r="4" customFormat="false" ht="15" hidden="false" customHeight="false" outlineLevel="0" collapsed="false">
      <c r="A4" s="2" t="s">
        <v>3</v>
      </c>
      <c r="B4" s="2"/>
      <c r="C4" s="4" t="s">
        <v>4</v>
      </c>
      <c r="D4" s="4"/>
      <c r="E4" s="4"/>
      <c r="F4" s="4"/>
      <c r="G4" s="4"/>
    </row>
    <row r="5" customFormat="false" ht="15" hidden="false" customHeight="false" outlineLevel="0" collapsed="false">
      <c r="A5" s="2" t="s">
        <v>5</v>
      </c>
      <c r="B5" s="2"/>
      <c r="C5" s="3" t="s">
        <v>6</v>
      </c>
      <c r="D5" s="3"/>
      <c r="E5" s="3"/>
      <c r="F5" s="3"/>
      <c r="G5" s="3"/>
    </row>
    <row r="7" customFormat="false" ht="15" hidden="false" customHeight="false" outlineLevel="0" collapsed="false">
      <c r="A7" s="5" t="s">
        <v>7</v>
      </c>
      <c r="B7" s="5" t="s">
        <v>8</v>
      </c>
      <c r="C7" s="5" t="s">
        <v>9</v>
      </c>
      <c r="D7" s="5" t="s">
        <v>10</v>
      </c>
      <c r="E7" s="5" t="s">
        <v>11</v>
      </c>
      <c r="F7" s="5" t="s">
        <v>12</v>
      </c>
      <c r="G7" s="5" t="s">
        <v>13</v>
      </c>
    </row>
    <row r="8" customFormat="false" ht="15" hidden="false" customHeight="false" outlineLevel="0" collapsed="false">
      <c r="A8" s="6" t="s">
        <v>14</v>
      </c>
      <c r="B8" s="6"/>
      <c r="C8" s="6"/>
      <c r="D8" s="6"/>
      <c r="E8" s="6"/>
      <c r="F8" s="7" t="n">
        <f aca="false">SUM(F9:F14)</f>
        <v>23300</v>
      </c>
      <c r="G8" s="8"/>
    </row>
    <row r="9" customFormat="false" ht="31.5" hidden="false" customHeight="true" outlineLevel="0" collapsed="false">
      <c r="A9" s="9" t="n">
        <v>1</v>
      </c>
      <c r="B9" s="10" t="s">
        <v>15</v>
      </c>
      <c r="C9" s="9" t="s">
        <v>16</v>
      </c>
      <c r="D9" s="11" t="n">
        <v>7</v>
      </c>
      <c r="E9" s="12" t="n">
        <v>1250</v>
      </c>
      <c r="F9" s="13" t="n">
        <f aca="false">D9*E9</f>
        <v>8750</v>
      </c>
      <c r="G9" s="14" t="s">
        <v>17</v>
      </c>
    </row>
    <row r="10" customFormat="false" ht="31.5" hidden="false" customHeight="true" outlineLevel="0" collapsed="false">
      <c r="A10" s="9" t="n">
        <v>2</v>
      </c>
      <c r="B10" s="10" t="s">
        <v>18</v>
      </c>
      <c r="C10" s="9" t="s">
        <v>19</v>
      </c>
      <c r="D10" s="11" t="n">
        <v>34</v>
      </c>
      <c r="E10" s="12" t="n">
        <v>175</v>
      </c>
      <c r="F10" s="13" t="n">
        <f aca="false">D10*E10</f>
        <v>5950</v>
      </c>
      <c r="G10" s="14" t="s">
        <v>20</v>
      </c>
    </row>
    <row r="11" customFormat="false" ht="31.5" hidden="false" customHeight="true" outlineLevel="0" collapsed="false">
      <c r="A11" s="9" t="n">
        <v>3</v>
      </c>
      <c r="B11" s="10" t="s">
        <v>21</v>
      </c>
      <c r="C11" s="9" t="s">
        <v>22</v>
      </c>
      <c r="D11" s="11" t="n">
        <v>80</v>
      </c>
      <c r="E11" s="12" t="n">
        <v>47.5</v>
      </c>
      <c r="F11" s="13" t="n">
        <f aca="false">D11*E11</f>
        <v>3800</v>
      </c>
      <c r="G11" s="14" t="s">
        <v>20</v>
      </c>
    </row>
    <row r="12" customFormat="false" ht="31.5" hidden="false" customHeight="true" outlineLevel="0" collapsed="false">
      <c r="A12" s="9" t="n">
        <v>4</v>
      </c>
      <c r="B12" s="10" t="s">
        <v>23</v>
      </c>
      <c r="C12" s="9" t="s">
        <v>24</v>
      </c>
      <c r="D12" s="11" t="n">
        <v>5</v>
      </c>
      <c r="E12" s="12" t="n">
        <v>400</v>
      </c>
      <c r="F12" s="13" t="n">
        <f aca="false">D12*E12</f>
        <v>2000</v>
      </c>
      <c r="G12" s="14" t="s">
        <v>20</v>
      </c>
    </row>
    <row r="13" customFormat="false" ht="31.5" hidden="false" customHeight="true" outlineLevel="0" collapsed="false">
      <c r="A13" s="9" t="n">
        <v>5</v>
      </c>
      <c r="B13" s="10" t="s">
        <v>25</v>
      </c>
      <c r="C13" s="9" t="s">
        <v>26</v>
      </c>
      <c r="D13" s="11" t="n">
        <v>40</v>
      </c>
      <c r="E13" s="12" t="n">
        <v>50</v>
      </c>
      <c r="F13" s="13" t="n">
        <f aca="false">D13*E13</f>
        <v>2000</v>
      </c>
      <c r="G13" s="14" t="s">
        <v>20</v>
      </c>
    </row>
    <row r="14" customFormat="false" ht="31.5" hidden="false" customHeight="true" outlineLevel="0" collapsed="false">
      <c r="A14" s="9" t="n">
        <v>6</v>
      </c>
      <c r="B14" s="10" t="s">
        <v>27</v>
      </c>
      <c r="C14" s="9" t="s">
        <v>26</v>
      </c>
      <c r="D14" s="11" t="n">
        <v>16</v>
      </c>
      <c r="E14" s="12" t="n">
        <v>50</v>
      </c>
      <c r="F14" s="13" t="n">
        <f aca="false">D14*E14</f>
        <v>800</v>
      </c>
      <c r="G14" s="14" t="s">
        <v>20</v>
      </c>
    </row>
    <row r="15" customFormat="false" ht="15" hidden="false" customHeight="false" outlineLevel="0" collapsed="false">
      <c r="A15" s="6" t="s">
        <v>28</v>
      </c>
      <c r="B15" s="6"/>
      <c r="C15" s="6"/>
      <c r="D15" s="6"/>
      <c r="E15" s="6"/>
      <c r="F15" s="7" t="n">
        <f aca="false">SUM(F16:F18)</f>
        <v>2500</v>
      </c>
      <c r="G15" s="8"/>
    </row>
    <row r="16" customFormat="false" ht="31.5" hidden="false" customHeight="true" outlineLevel="0" collapsed="false">
      <c r="A16" s="9" t="n">
        <v>7</v>
      </c>
      <c r="B16" s="10" t="s">
        <v>29</v>
      </c>
      <c r="C16" s="9" t="s">
        <v>26</v>
      </c>
      <c r="D16" s="11" t="n">
        <v>16</v>
      </c>
      <c r="E16" s="12" t="n">
        <v>50</v>
      </c>
      <c r="F16" s="13" t="n">
        <f aca="false">D16*E16</f>
        <v>800</v>
      </c>
      <c r="G16" s="14" t="s">
        <v>20</v>
      </c>
    </row>
    <row r="17" customFormat="false" ht="31.5" hidden="false" customHeight="true" outlineLevel="0" collapsed="false">
      <c r="A17" s="9" t="n">
        <v>8</v>
      </c>
      <c r="B17" s="10" t="s">
        <v>30</v>
      </c>
      <c r="C17" s="9" t="s">
        <v>31</v>
      </c>
      <c r="D17" s="11" t="n">
        <v>2</v>
      </c>
      <c r="E17" s="12" t="n">
        <v>350</v>
      </c>
      <c r="F17" s="13" t="n">
        <f aca="false">D17*E17</f>
        <v>700</v>
      </c>
      <c r="G17" s="14" t="s">
        <v>32</v>
      </c>
    </row>
    <row r="18" customFormat="false" ht="31.5" hidden="false" customHeight="true" outlineLevel="0" collapsed="false">
      <c r="A18" s="9" t="n">
        <v>9</v>
      </c>
      <c r="B18" s="10" t="s">
        <v>33</v>
      </c>
      <c r="C18" s="9" t="s">
        <v>34</v>
      </c>
      <c r="D18" s="11" t="n">
        <v>1</v>
      </c>
      <c r="E18" s="12" t="n">
        <v>1000</v>
      </c>
      <c r="F18" s="13" t="n">
        <f aca="false">D18*E18</f>
        <v>1000</v>
      </c>
      <c r="G18" s="14" t="s">
        <v>35</v>
      </c>
    </row>
    <row r="19" customFormat="false" ht="15" hidden="false" customHeight="false" outlineLevel="0" collapsed="false">
      <c r="A19" s="6" t="s">
        <v>36</v>
      </c>
      <c r="B19" s="6"/>
      <c r="C19" s="6"/>
      <c r="D19" s="6"/>
      <c r="E19" s="6"/>
      <c r="F19" s="7" t="n">
        <f aca="false">SUM(F20:F24)</f>
        <v>2300</v>
      </c>
      <c r="G19" s="8"/>
    </row>
    <row r="20" customFormat="false" ht="31.5" hidden="false" customHeight="true" outlineLevel="0" collapsed="false">
      <c r="A20" s="9" t="n">
        <v>10</v>
      </c>
      <c r="B20" s="10" t="s">
        <v>37</v>
      </c>
      <c r="C20" s="9" t="s">
        <v>38</v>
      </c>
      <c r="D20" s="11" t="n">
        <v>2</v>
      </c>
      <c r="E20" s="12" t="n">
        <v>300</v>
      </c>
      <c r="F20" s="13" t="n">
        <f aca="false">D20*E20</f>
        <v>600</v>
      </c>
      <c r="G20" s="14" t="s">
        <v>39</v>
      </c>
    </row>
    <row r="21" customFormat="false" ht="31.5" hidden="false" customHeight="true" outlineLevel="0" collapsed="false">
      <c r="A21" s="9" t="n">
        <v>11</v>
      </c>
      <c r="B21" s="10" t="s">
        <v>40</v>
      </c>
      <c r="C21" s="9" t="s">
        <v>41</v>
      </c>
      <c r="D21" s="11" t="n">
        <v>1</v>
      </c>
      <c r="E21" s="12" t="n">
        <v>1000</v>
      </c>
      <c r="F21" s="13" t="n">
        <f aca="false">D21*E21</f>
        <v>1000</v>
      </c>
      <c r="G21" s="14" t="s">
        <v>42</v>
      </c>
    </row>
    <row r="22" customFormat="false" ht="31.5" hidden="false" customHeight="true" outlineLevel="0" collapsed="false">
      <c r="A22" s="9" t="n">
        <v>12</v>
      </c>
      <c r="B22" s="10" t="s">
        <v>43</v>
      </c>
      <c r="C22" s="9" t="s">
        <v>44</v>
      </c>
      <c r="D22" s="11" t="n">
        <v>2</v>
      </c>
      <c r="E22" s="12" t="n">
        <v>100</v>
      </c>
      <c r="F22" s="13" t="n">
        <f aca="false">D22*E22</f>
        <v>200</v>
      </c>
      <c r="G22" s="14" t="s">
        <v>45</v>
      </c>
    </row>
    <row r="23" customFormat="false" ht="31.5" hidden="false" customHeight="true" outlineLevel="0" collapsed="false">
      <c r="A23" s="9" t="n">
        <v>13</v>
      </c>
      <c r="B23" s="10" t="s">
        <v>46</v>
      </c>
      <c r="C23" s="9" t="s">
        <v>47</v>
      </c>
      <c r="D23" s="11" t="n">
        <v>40</v>
      </c>
      <c r="E23" s="12" t="n">
        <v>10</v>
      </c>
      <c r="F23" s="13" t="n">
        <f aca="false">D23*E23</f>
        <v>400</v>
      </c>
      <c r="G23" s="14" t="s">
        <v>48</v>
      </c>
    </row>
    <row r="24" customFormat="false" ht="31.5" hidden="false" customHeight="true" outlineLevel="0" collapsed="false">
      <c r="A24" s="9" t="n">
        <v>14</v>
      </c>
      <c r="B24" s="10" t="s">
        <v>49</v>
      </c>
      <c r="C24" s="9" t="s">
        <v>50</v>
      </c>
      <c r="D24" s="11" t="n">
        <v>20</v>
      </c>
      <c r="E24" s="12" t="n">
        <v>5</v>
      </c>
      <c r="F24" s="13" t="n">
        <f aca="false">D24*E24</f>
        <v>100</v>
      </c>
      <c r="G24" s="14" t="s">
        <v>48</v>
      </c>
    </row>
    <row r="25" customFormat="false" ht="15" hidden="false" customHeight="false" outlineLevel="0" collapsed="false">
      <c r="A25" s="6" t="s">
        <v>51</v>
      </c>
      <c r="B25" s="6"/>
      <c r="C25" s="6"/>
      <c r="D25" s="6"/>
      <c r="E25" s="6"/>
      <c r="F25" s="7" t="n">
        <f aca="false">SUM(F26:F27)</f>
        <v>1300</v>
      </c>
      <c r="G25" s="8"/>
    </row>
    <row r="26" customFormat="false" ht="31.5" hidden="false" customHeight="true" outlineLevel="0" collapsed="false">
      <c r="A26" s="9" t="n">
        <v>15</v>
      </c>
      <c r="B26" s="10" t="s">
        <v>52</v>
      </c>
      <c r="C26" s="9" t="s">
        <v>53</v>
      </c>
      <c r="D26" s="11" t="n">
        <v>8</v>
      </c>
      <c r="E26" s="12" t="n">
        <v>100</v>
      </c>
      <c r="F26" s="13" t="n">
        <f aca="false">D26*E26</f>
        <v>800</v>
      </c>
      <c r="G26" s="14" t="s">
        <v>20</v>
      </c>
    </row>
    <row r="27" customFormat="false" ht="31.5" hidden="false" customHeight="true" outlineLevel="0" collapsed="false">
      <c r="A27" s="9" t="n">
        <v>16</v>
      </c>
      <c r="B27" s="10" t="s">
        <v>54</v>
      </c>
      <c r="C27" s="9" t="s">
        <v>55</v>
      </c>
      <c r="D27" s="11" t="n">
        <v>10</v>
      </c>
      <c r="E27" s="12" t="n">
        <v>50</v>
      </c>
      <c r="F27" s="13" t="n">
        <f aca="false">D27*E27</f>
        <v>500</v>
      </c>
      <c r="G27" s="14" t="s">
        <v>20</v>
      </c>
    </row>
    <row r="28" customFormat="false" ht="15" hidden="false" customHeight="false" outlineLevel="0" collapsed="false">
      <c r="A28" s="6" t="s">
        <v>56</v>
      </c>
      <c r="B28" s="6"/>
      <c r="C28" s="6"/>
      <c r="D28" s="6"/>
      <c r="E28" s="6"/>
      <c r="F28" s="7" t="n">
        <f aca="false">SUM(F29:F29)</f>
        <v>600</v>
      </c>
      <c r="G28" s="8"/>
    </row>
    <row r="29" customFormat="false" ht="31.5" hidden="false" customHeight="true" outlineLevel="0" collapsed="false">
      <c r="A29" s="9" t="n">
        <v>17</v>
      </c>
      <c r="B29" s="10" t="s">
        <v>57</v>
      </c>
      <c r="C29" s="9" t="s">
        <v>16</v>
      </c>
      <c r="D29" s="11" t="n">
        <v>12</v>
      </c>
      <c r="E29" s="12" t="n">
        <v>50</v>
      </c>
      <c r="F29" s="13" t="n">
        <f aca="false">D29*E29</f>
        <v>600</v>
      </c>
      <c r="G29" s="14" t="s">
        <v>58</v>
      </c>
    </row>
    <row r="30" customFormat="false" ht="15" hidden="false" customHeight="false" outlineLevel="0" collapsed="false">
      <c r="A30" s="15" t="s">
        <v>59</v>
      </c>
      <c r="B30" s="15"/>
      <c r="C30" s="15"/>
      <c r="D30" s="15"/>
      <c r="E30" s="15"/>
      <c r="F30" s="16" t="n">
        <f aca="false">F8+F15+F19+F25+F28</f>
        <v>30000</v>
      </c>
      <c r="G30" s="17"/>
    </row>
    <row r="32" customFormat="false" ht="31.5" hidden="false" customHeight="true" outlineLevel="0" collapsed="false">
      <c r="A32" s="6" t="s">
        <v>60</v>
      </c>
      <c r="B32" s="6"/>
      <c r="C32" s="6"/>
      <c r="D32" s="6"/>
      <c r="E32" s="6"/>
      <c r="F32" s="7" t="n">
        <v>0</v>
      </c>
      <c r="G32" s="18" t="s">
        <v>61</v>
      </c>
    </row>
    <row r="34" customFormat="false" ht="15" hidden="false" customHeight="true" outlineLevel="0" collapsed="false">
      <c r="A34" s="19" t="s">
        <v>62</v>
      </c>
      <c r="B34" s="19"/>
      <c r="C34" s="19"/>
      <c r="D34" s="19"/>
      <c r="E34" s="19"/>
      <c r="F34" s="19"/>
      <c r="G34" s="19"/>
    </row>
    <row r="35" customFormat="false" ht="15" hidden="false" customHeight="true" outlineLevel="0" collapsed="false">
      <c r="A35" s="20" t="s">
        <v>63</v>
      </c>
      <c r="B35" s="20"/>
      <c r="C35" s="20"/>
      <c r="D35" s="20"/>
      <c r="E35" s="20"/>
      <c r="F35" s="20"/>
      <c r="G35" s="20"/>
    </row>
    <row r="36" customFormat="false" ht="15" hidden="false" customHeight="true" outlineLevel="0" collapsed="false">
      <c r="A36" s="20" t="s">
        <v>64</v>
      </c>
      <c r="B36" s="20"/>
      <c r="C36" s="20"/>
      <c r="D36" s="20"/>
      <c r="E36" s="20"/>
      <c r="F36" s="20"/>
      <c r="G36" s="20"/>
    </row>
    <row r="37" customFormat="false" ht="15" hidden="false" customHeight="true" outlineLevel="0" collapsed="false">
      <c r="A37" s="20" t="s">
        <v>65</v>
      </c>
      <c r="B37" s="20"/>
      <c r="C37" s="20"/>
      <c r="D37" s="20"/>
      <c r="E37" s="20"/>
      <c r="F37" s="20"/>
      <c r="G37" s="20"/>
    </row>
    <row r="38" customFormat="false" ht="15" hidden="false" customHeight="true" outlineLevel="0" collapsed="false">
      <c r="A38" s="20" t="s">
        <v>66</v>
      </c>
      <c r="B38" s="20"/>
      <c r="C38" s="20"/>
      <c r="D38" s="20"/>
      <c r="E38" s="20"/>
      <c r="F38" s="20"/>
      <c r="G38" s="20"/>
    </row>
    <row r="40" customFormat="false" ht="15" hidden="false" customHeight="true" outlineLevel="0" collapsed="false">
      <c r="A40" s="19" t="s">
        <v>67</v>
      </c>
      <c r="B40" s="19"/>
      <c r="C40" s="19"/>
      <c r="D40" s="19"/>
      <c r="E40" s="19"/>
      <c r="F40" s="19"/>
      <c r="G40" s="19"/>
    </row>
    <row r="41" customFormat="false" ht="42" hidden="false" customHeight="true" outlineLevel="0" collapsed="false">
      <c r="A41" s="21" t="s">
        <v>68</v>
      </c>
      <c r="B41" s="21"/>
      <c r="C41" s="21"/>
      <c r="D41" s="21"/>
      <c r="E41" s="21"/>
      <c r="F41" s="21"/>
      <c r="G41" s="21"/>
    </row>
    <row r="42" customFormat="false" ht="42" hidden="false" customHeight="true" outlineLevel="0" collapsed="false">
      <c r="A42" s="21" t="s">
        <v>69</v>
      </c>
      <c r="B42" s="21"/>
      <c r="C42" s="21"/>
      <c r="D42" s="21"/>
      <c r="E42" s="21"/>
      <c r="F42" s="21"/>
      <c r="G42" s="21"/>
    </row>
    <row r="43" customFormat="false" ht="42" hidden="false" customHeight="true" outlineLevel="0" collapsed="false">
      <c r="A43" s="21" t="s">
        <v>70</v>
      </c>
      <c r="B43" s="21"/>
      <c r="C43" s="21"/>
      <c r="D43" s="21"/>
      <c r="E43" s="21"/>
      <c r="F43" s="21"/>
      <c r="G43" s="21"/>
    </row>
    <row r="44" customFormat="false" ht="42" hidden="false" customHeight="true" outlineLevel="0" collapsed="false">
      <c r="A44" s="21" t="s">
        <v>71</v>
      </c>
      <c r="B44" s="21"/>
      <c r="C44" s="21"/>
      <c r="D44" s="21"/>
      <c r="E44" s="21"/>
      <c r="F44" s="21"/>
      <c r="G44" s="21"/>
    </row>
    <row r="45" customFormat="false" ht="42" hidden="false" customHeight="true" outlineLevel="0" collapsed="false">
      <c r="A45" s="21" t="s">
        <v>72</v>
      </c>
      <c r="B45" s="21"/>
      <c r="C45" s="21"/>
      <c r="D45" s="21"/>
      <c r="E45" s="21"/>
      <c r="F45" s="21"/>
      <c r="G45" s="21"/>
    </row>
  </sheetData>
  <mergeCells count="25">
    <mergeCell ref="A1:G1"/>
    <mergeCell ref="A3:B3"/>
    <mergeCell ref="C3:G3"/>
    <mergeCell ref="A4:B4"/>
    <mergeCell ref="C4:G4"/>
    <mergeCell ref="A5:B5"/>
    <mergeCell ref="C5:G5"/>
    <mergeCell ref="A8:E8"/>
    <mergeCell ref="A15:E15"/>
    <mergeCell ref="A19:E19"/>
    <mergeCell ref="A25:E25"/>
    <mergeCell ref="A28:E28"/>
    <mergeCell ref="A30:E30"/>
    <mergeCell ref="A32:E32"/>
    <mergeCell ref="A34:G34"/>
    <mergeCell ref="A35:G35"/>
    <mergeCell ref="A36:G36"/>
    <mergeCell ref="A37:G37"/>
    <mergeCell ref="A38:G38"/>
    <mergeCell ref="A40:G40"/>
    <mergeCell ref="A41:G41"/>
    <mergeCell ref="A42:G42"/>
    <mergeCell ref="A43:G43"/>
    <mergeCell ref="A44:G44"/>
    <mergeCell ref="A45:G4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2026-09-30T03:34:36Z</dcterms:created>
  <dc:creator>openpyxl</dc:creator>
  <dc:description/>
  <dc:language>en-US</dc:language>
  <cp:lastModifiedBy/>
  <dcterms:modified xsi:type="dcterms:W3CDTF">2026-09-30T03:34:36Z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