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o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5" authorId="0">
      <text>
        <r>
          <rPr>
            <sz val="10"/>
            <rFont val="Arial"/>
            <family val="2"/>
          </rPr>
          <t xml:space="preserve">Valor fixo da Modalidade I do Edital PNAB nº 008/2026 de Ribeirão Preto (item 2.1.2 a). O orçamento não pode ser maior nem menor (item 2.1.3).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<sst xmlns="http://schemas.openxmlformats.org/spreadsheetml/2006/main" count="32" uniqueCount="32">
  <si>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Cada Corte, uma História — apoio à planilha orçamentária (uso interno, não enviar)</t>
  </si>
  <si>
    <t xml:space="preserve">Legenda: azul = valores digitados (copie os mesmos da planilha de envio) · amarelo = você preenche · preto = fórmulas.</t>
  </si>
  <si>
    <t xml:space="preserve">Exemplo de preenchimento da referência: "Orçamento de Fulano Ilustrações, 05/10/2026, R$ 180,00 por ilustração".</t>
  </si>
  <si>
    <t xml:space="preserve">Nº</t>
  </si>
  <si>
    <t xml:space="preserve">Item de despesa</t>
  </si>
  <si>
    <t xml:space="preserve">Quant</t>
  </si>
  <si>
    <t xml:space="preserve">Valor unitário</t>
  </si>
  <si>
    <t xml:space="preserve">Valor total</t>
  </si>
  <si>
    <t xml:space="preserve">Referência de preço (orçamento, tabela, edital anterior)</t>
  </si>
  <si>
    <t xml:space="preserve">Fonte / contato</t>
  </si>
  <si>
    <t xml:space="preserve">Direção geral, roteiro dos 120 documentários e programação do jogo (proponente) — por mês</t>
  </si>
  <si>
    <t xml:space="preserve">Ilustração 2D dos documentários — por ilustração (24 principais + 10 de apoio)</t>
  </si>
  <si>
    <t xml:space="preserve">Narração e edição de áudio dos documentários — por minuto finalizado</t>
  </si>
  <si>
    <t xml:space="preserve">Trilha sonora original, uma música por época — por faixa</t>
  </si>
  <si>
    <t xml:space="preserve">Consultoria em cultura afro-brasileira (revisão dos roteiros e fontes) — por hora</t>
  </si>
  <si>
    <t xml:space="preserve">Consultoria pedagógica (guia para professores) — por hora</t>
  </si>
  <si>
    <t xml:space="preserve">Consultoria de acessibilidade (pessoa com deficiência) — por hora</t>
  </si>
  <si>
    <t xml:space="preserve">Intérpretes de Libras no lançamento (revezamento) — por intérprete</t>
  </si>
  <si>
    <t xml:space="preserve">Acessibilidade do trailer (Libras, legendas e audiodescrição) — serviço</t>
  </si>
  <si>
    <t xml:space="preserve">Roda de conversa no lançamento (barbeiro e trancista convidados) — por convidado</t>
  </si>
  <si>
    <t xml:space="preserve">Locação de equipamentos para o lançamento (notebooks, projetor e som) — diária</t>
  </si>
  <si>
    <t xml:space="preserve">Transporte de equipamentos e equipe para o lançamento — por deslocamento</t>
  </si>
  <si>
    <t xml:space="preserve">Impressão do guia para professores — por exemplar</t>
  </si>
  <si>
    <t xml:space="preserve">Impressão de cartazes com código para baixar o jogo — por cartaz</t>
  </si>
  <si>
    <t xml:space="preserve">Edição de vídeo (trailer e 7 vídeos curtos) — por vídeo</t>
  </si>
  <si>
    <t xml:space="preserve">Design gráfico (identidade visual e peças acessíveis) — por peça</t>
  </si>
  <si>
    <t xml:space="preserve">Assessoria contábil (impostos e prestação de contas) — por mês</t>
  </si>
  <si>
    <t xml:space="preserve">Total da planilha</t>
  </si>
  <si>
    <t xml:space="preserve">Valor da Modalidade I (item 2.1.2 do edital)</t>
  </si>
  <si>
    <t xml:space="preserve">Diferença (precisa ser zero)</t>
  </si>
  <si>
    <t xml:space="preserve">Situação</t>
  </si>
  <si>
    <t xml:space="preserve">Os valores unitários são estimativas do planejamento. Ao trocar um valor aqui, troque também na planilha de envio.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</si>
</sst>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 -416]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5" min="4" style="0" width="15"/>
    <col collapsed="false" customWidth="true" hidden="false" outlineLevel="0" max="6" min="6" style="0" width="4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customFormat="false" ht="15" hidden="false" customHeight="false" outlineLevel="0" collapsed="false">
      <c r="A6" s="4" t="n">
        <v>1</v>
      </c>
      <c r="B6" s="4" t="s">
        <v>10</v>
      </c>
      <c r="C6" s="5" t="n">
        <v>7</v>
      </c>
      <c r="D6" s="6" t="n">
        <v>1250</v>
      </c>
      <c r="E6" s="7" t="n">
        <f aca="false">C6*D6</f>
        <v>8750</v>
      </c>
      <c r="F6" s="8"/>
      <c r="G6" s="8"/>
    </row>
    <row r="7" customFormat="false" ht="15" hidden="false" customHeight="false" outlineLevel="0" collapsed="false">
      <c r="A7" s="4" t="n">
        <v>2</v>
      </c>
      <c r="B7" s="4" t="s">
        <v>11</v>
      </c>
      <c r="C7" s="5" t="n">
        <v>34</v>
      </c>
      <c r="D7" s="6" t="n">
        <v>175</v>
      </c>
      <c r="E7" s="7" t="n">
        <f aca="false">C7*D7</f>
        <v>5950</v>
      </c>
      <c r="F7" s="8"/>
      <c r="G7" s="8"/>
    </row>
    <row r="8" customFormat="false" ht="15" hidden="false" customHeight="false" outlineLevel="0" collapsed="false">
      <c r="A8" s="4" t="n">
        <v>3</v>
      </c>
      <c r="B8" s="4" t="s">
        <v>12</v>
      </c>
      <c r="C8" s="5" t="n">
        <v>80</v>
      </c>
      <c r="D8" s="6" t="n">
        <v>47.5</v>
      </c>
      <c r="E8" s="7" t="n">
        <f aca="false">C8*D8</f>
        <v>3800</v>
      </c>
      <c r="F8" s="8"/>
      <c r="G8" s="8"/>
    </row>
    <row r="9" customFormat="false" ht="15" hidden="false" customHeight="false" outlineLevel="0" collapsed="false">
      <c r="A9" s="4" t="n">
        <v>4</v>
      </c>
      <c r="B9" s="4" t="s">
        <v>13</v>
      </c>
      <c r="C9" s="5" t="n">
        <v>5</v>
      </c>
      <c r="D9" s="6" t="n">
        <v>400</v>
      </c>
      <c r="E9" s="7" t="n">
        <f aca="false">C9*D9</f>
        <v>2000</v>
      </c>
      <c r="F9" s="8"/>
      <c r="G9" s="8"/>
    </row>
    <row r="10" customFormat="false" ht="15" hidden="false" customHeight="false" outlineLevel="0" collapsed="false">
      <c r="A10" s="4" t="n">
        <v>5</v>
      </c>
      <c r="B10" s="4" t="s">
        <v>14</v>
      </c>
      <c r="C10" s="5" t="n">
        <v>40</v>
      </c>
      <c r="D10" s="6" t="n">
        <v>50</v>
      </c>
      <c r="E10" s="7" t="n">
        <f aca="false">C10*D10</f>
        <v>2000</v>
      </c>
      <c r="F10" s="8"/>
      <c r="G10" s="8"/>
    </row>
    <row r="11" customFormat="false" ht="15" hidden="false" customHeight="false" outlineLevel="0" collapsed="false">
      <c r="A11" s="4" t="n">
        <v>6</v>
      </c>
      <c r="B11" s="4" t="s">
        <v>15</v>
      </c>
      <c r="C11" s="5" t="n">
        <v>16</v>
      </c>
      <c r="D11" s="6" t="n">
        <v>50</v>
      </c>
      <c r="E11" s="7" t="n">
        <f aca="false">C11*D11</f>
        <v>800</v>
      </c>
      <c r="F11" s="8"/>
      <c r="G11" s="8"/>
    </row>
    <row r="12" customFormat="false" ht="15" hidden="false" customHeight="false" outlineLevel="0" collapsed="false">
      <c r="A12" s="4" t="n">
        <v>7</v>
      </c>
      <c r="B12" s="4" t="s">
        <v>16</v>
      </c>
      <c r="C12" s="5" t="n">
        <v>16</v>
      </c>
      <c r="D12" s="6" t="n">
        <v>50</v>
      </c>
      <c r="E12" s="7" t="n">
        <f aca="false">C12*D12</f>
        <v>800</v>
      </c>
      <c r="F12" s="8"/>
      <c r="G12" s="8"/>
    </row>
    <row r="13" customFormat="false" ht="15" hidden="false" customHeight="false" outlineLevel="0" collapsed="false">
      <c r="A13" s="4" t="n">
        <v>8</v>
      </c>
      <c r="B13" s="4" t="s">
        <v>17</v>
      </c>
      <c r="C13" s="5" t="n">
        <v>2</v>
      </c>
      <c r="D13" s="6" t="n">
        <v>350</v>
      </c>
      <c r="E13" s="7" t="n">
        <f aca="false">C13*D13</f>
        <v>700</v>
      </c>
      <c r="F13" s="8"/>
      <c r="G13" s="8"/>
    </row>
    <row r="14" customFormat="false" ht="15" hidden="false" customHeight="false" outlineLevel="0" collapsed="false">
      <c r="A14" s="4" t="n">
        <v>9</v>
      </c>
      <c r="B14" s="4" t="s">
        <v>18</v>
      </c>
      <c r="C14" s="5" t="n">
        <v>1</v>
      </c>
      <c r="D14" s="6" t="n">
        <v>1000</v>
      </c>
      <c r="E14" s="7" t="n">
        <f aca="false">C14*D14</f>
        <v>1000</v>
      </c>
      <c r="F14" s="8"/>
      <c r="G14" s="8"/>
    </row>
    <row r="15" customFormat="false" ht="15" hidden="false" customHeight="false" outlineLevel="0" collapsed="false">
      <c r="A15" s="4" t="n">
        <v>10</v>
      </c>
      <c r="B15" s="4" t="s">
        <v>19</v>
      </c>
      <c r="C15" s="5" t="n">
        <v>2</v>
      </c>
      <c r="D15" s="6" t="n">
        <v>300</v>
      </c>
      <c r="E15" s="7" t="n">
        <f aca="false">C15*D15</f>
        <v>600</v>
      </c>
      <c r="F15" s="8"/>
      <c r="G15" s="8"/>
    </row>
    <row r="16" customFormat="false" ht="15" hidden="false" customHeight="false" outlineLevel="0" collapsed="false">
      <c r="A16" s="4" t="n">
        <v>11</v>
      </c>
      <c r="B16" s="4" t="s">
        <v>20</v>
      </c>
      <c r="C16" s="5" t="n">
        <v>1</v>
      </c>
      <c r="D16" s="6" t="n">
        <v>1000</v>
      </c>
      <c r="E16" s="7" t="n">
        <f aca="false">C16*D16</f>
        <v>1000</v>
      </c>
      <c r="F16" s="8"/>
      <c r="G16" s="8"/>
    </row>
    <row r="17" customFormat="false" ht="15" hidden="false" customHeight="false" outlineLevel="0" collapsed="false">
      <c r="A17" s="4" t="n">
        <v>12</v>
      </c>
      <c r="B17" s="4" t="s">
        <v>21</v>
      </c>
      <c r="C17" s="5" t="n">
        <v>2</v>
      </c>
      <c r="D17" s="6" t="n">
        <v>100</v>
      </c>
      <c r="E17" s="7" t="n">
        <f aca="false">C17*D17</f>
        <v>200</v>
      </c>
      <c r="F17" s="8"/>
      <c r="G17" s="8"/>
    </row>
    <row r="18" customFormat="false" ht="15" hidden="false" customHeight="false" outlineLevel="0" collapsed="false">
      <c r="A18" s="4" t="n">
        <v>13</v>
      </c>
      <c r="B18" s="4" t="s">
        <v>22</v>
      </c>
      <c r="C18" s="5" t="n">
        <v>40</v>
      </c>
      <c r="D18" s="6" t="n">
        <v>10</v>
      </c>
      <c r="E18" s="7" t="n">
        <f aca="false">C18*D18</f>
        <v>400</v>
      </c>
      <c r="F18" s="8"/>
      <c r="G18" s="8"/>
    </row>
    <row r="19" customFormat="false" ht="15" hidden="false" customHeight="false" outlineLevel="0" collapsed="false">
      <c r="A19" s="4" t="n">
        <v>14</v>
      </c>
      <c r="B19" s="4" t="s">
        <v>23</v>
      </c>
      <c r="C19" s="5" t="n">
        <v>20</v>
      </c>
      <c r="D19" s="6" t="n">
        <v>5</v>
      </c>
      <c r="E19" s="7" t="n">
        <f aca="false">C19*D19</f>
        <v>100</v>
      </c>
      <c r="F19" s="8"/>
      <c r="G19" s="8"/>
    </row>
    <row r="20" customFormat="false" ht="15" hidden="false" customHeight="false" outlineLevel="0" collapsed="false">
      <c r="A20" s="4" t="n">
        <v>15</v>
      </c>
      <c r="B20" s="4" t="s">
        <v>24</v>
      </c>
      <c r="C20" s="5" t="n">
        <v>8</v>
      </c>
      <c r="D20" s="6" t="n">
        <v>100</v>
      </c>
      <c r="E20" s="7" t="n">
        <f aca="false">C20*D20</f>
        <v>800</v>
      </c>
      <c r="F20" s="8"/>
      <c r="G20" s="8"/>
    </row>
    <row r="21" customFormat="false" ht="15" hidden="false" customHeight="false" outlineLevel="0" collapsed="false">
      <c r="A21" s="4" t="n">
        <v>16</v>
      </c>
      <c r="B21" s="4" t="s">
        <v>25</v>
      </c>
      <c r="C21" s="5" t="n">
        <v>10</v>
      </c>
      <c r="D21" s="6" t="n">
        <v>50</v>
      </c>
      <c r="E21" s="7" t="n">
        <f aca="false">C21*D21</f>
        <v>500</v>
      </c>
      <c r="F21" s="8"/>
      <c r="G21" s="8"/>
    </row>
    <row r="22" customFormat="false" ht="15" hidden="false" customHeight="false" outlineLevel="0" collapsed="false">
      <c r="A22" s="4" t="n">
        <v>17</v>
      </c>
      <c r="B22" s="4" t="s">
        <v>26</v>
      </c>
      <c r="C22" s="5" t="n">
        <v>12</v>
      </c>
      <c r="D22" s="6" t="n">
        <v>50</v>
      </c>
      <c r="E22" s="7" t="n">
        <f aca="false">C22*D22</f>
        <v>600</v>
      </c>
      <c r="F22" s="8"/>
      <c r="G22" s="8"/>
    </row>
    <row r="24" customFormat="false" ht="15" hidden="false" customHeight="false" outlineLevel="0" collapsed="false">
      <c r="B24" s="9" t="s">
        <v>27</v>
      </c>
      <c r="E24" s="10" t="n">
        <f aca="false">SUM(E6:E22)</f>
        <v>30000</v>
      </c>
    </row>
    <row r="25" customFormat="false" ht="15" hidden="false" customHeight="false" outlineLevel="0" collapsed="false">
      <c r="B25" s="11" t="s">
        <v>28</v>
      </c>
      <c r="E25" s="12" t="n">
        <v>30000</v>
      </c>
    </row>
    <row r="26" customFormat="false" ht="15" hidden="false" customHeight="false" outlineLevel="0" collapsed="false">
      <c r="B26" s="9" t="s">
        <v>29</v>
      </c>
      <c r="E26" s="10" t="n">
        <f aca="false">E24-E25</f>
        <v>0</v>
      </c>
    </row>
    <row r="27" customFormat="false" ht="15" hidden="false" customHeight="false" outlineLevel="0" collapsed="false">
      <c r="B27" s="9" t="s">
        <v>30</v>
      </c>
      <c r="E27" s="9" t="str">
        <f aca="false">IF(ROUND(E26,2)=0,"OK: total igual à modalidade","AJUSTAR VALORES")</f>
        <v>OK: total igual à modalidade</v>
      </c>
    </row>
    <row r="29" customFormat="false" ht="15" hidden="false" customHeight="false" outlineLevel="0" collapsed="false">
      <c r="B29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2026-09-30T03:10:17Z</dcterms:created>
  <dc:creator>openpyxl</dc:creator>
  <dc:description/>
  <dc:language>en-US</dc:language>
  <cp:lastModifiedBy/>
  <dcterms:modified xsi:type="dcterms:W3CDTF">2026-09-30T03:10:17Z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